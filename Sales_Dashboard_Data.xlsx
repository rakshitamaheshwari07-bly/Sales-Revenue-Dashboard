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8EF6084-E118-4429-AF6F-EAEC353C4214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Sales_Data" sheetId="1" r:id="rId1"/>
    <sheet name="KPI_Summary" sheetId="2" r:id="rId2"/>
    <sheet name="Dashboard" sheetId="3" r:id="rId3"/>
  </sheet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B6" i="2" l="1"/>
  <c r="B7" i="2"/>
  <c r="B8" i="2"/>
  <c r="B3" i="2"/>
</calcChain>
</file>

<file path=xl/sharedStrings.xml><?xml version="1.0" encoding="utf-8"?>
<sst xmlns="http://schemas.openxmlformats.org/spreadsheetml/2006/main" count="369" uniqueCount="73">
  <si>
    <t>Date</t>
  </si>
  <si>
    <t>Product</t>
  </si>
  <si>
    <t>Category</t>
  </si>
  <si>
    <t>Region</t>
  </si>
  <si>
    <t>Units_Sold</t>
  </si>
  <si>
    <t>Price</t>
  </si>
  <si>
    <t>Revenue</t>
  </si>
  <si>
    <t>01-Jan-2024</t>
  </si>
  <si>
    <t>Smartphone</t>
  </si>
  <si>
    <t>Electronics</t>
  </si>
  <si>
    <t>North</t>
  </si>
  <si>
    <t>T-Shirt</t>
  </si>
  <si>
    <t>Fashion</t>
  </si>
  <si>
    <t>South</t>
  </si>
  <si>
    <t>15-Jan-2024</t>
  </si>
  <si>
    <t>Rice (5kg)</t>
  </si>
  <si>
    <t>Grocery</t>
  </si>
  <si>
    <t>28-Jan-2024</t>
  </si>
  <si>
    <t>Notebook</t>
  </si>
  <si>
    <t>Stationery</t>
  </si>
  <si>
    <t>05-Feb-2024</t>
  </si>
  <si>
    <t>West</t>
  </si>
  <si>
    <t>Cooking Oil</t>
  </si>
  <si>
    <t>East</t>
  </si>
  <si>
    <t>18-Feb-2024</t>
  </si>
  <si>
    <t>Headphones</t>
  </si>
  <si>
    <t>Shoes</t>
  </si>
  <si>
    <t>25-Feb-2024</t>
  </si>
  <si>
    <t>Backpack</t>
  </si>
  <si>
    <t>03-Mar-2024</t>
  </si>
  <si>
    <t>14-Mar-2024</t>
  </si>
  <si>
    <t>Pen Set</t>
  </si>
  <si>
    <t>27-Mar-2024</t>
  </si>
  <si>
    <t>08-Apr-2024</t>
  </si>
  <si>
    <t>20-Apr-2024</t>
  </si>
  <si>
    <t>30-Apr-2024</t>
  </si>
  <si>
    <t>05-May-2024</t>
  </si>
  <si>
    <t>16-May-2024</t>
  </si>
  <si>
    <t>Laptop</t>
  </si>
  <si>
    <t>28-May-2024</t>
  </si>
  <si>
    <t>02-Jun-2024</t>
  </si>
  <si>
    <t>15-Jun-2024</t>
  </si>
  <si>
    <t>25-Jun-2024</t>
  </si>
  <si>
    <t>07-Jul-2024</t>
  </si>
  <si>
    <t>19-Jul-2024</t>
  </si>
  <si>
    <t>31-Jul-2024</t>
  </si>
  <si>
    <t>04-Aug-2024</t>
  </si>
  <si>
    <t>17-Aug-2024</t>
  </si>
  <si>
    <t>29-Aug-2024</t>
  </si>
  <si>
    <t>06-Sep-2024</t>
  </si>
  <si>
    <t>18-Sep-2024</t>
  </si>
  <si>
    <t>28-Sep-2024</t>
  </si>
  <si>
    <t>03-Oct-2024</t>
  </si>
  <si>
    <t>15-Oct-2024</t>
  </si>
  <si>
    <t>27-Oct-2024</t>
  </si>
  <si>
    <t>05-Nov-2024</t>
  </si>
  <si>
    <t>18-Nov-2024</t>
  </si>
  <si>
    <t>29-Nov-2024</t>
  </si>
  <si>
    <t>04-Dec-2024</t>
  </si>
  <si>
    <t>15-Dec-2024</t>
  </si>
  <si>
    <t>28-Dec-2024</t>
  </si>
  <si>
    <t>📊 Sales &amp; Revenue KPI Summary</t>
  </si>
  <si>
    <t>Total Revenue (₹)</t>
  </si>
  <si>
    <t>Total Units Sold</t>
  </si>
  <si>
    <t>Total Transactions</t>
  </si>
  <si>
    <t>Average Order Value (₹)</t>
  </si>
  <si>
    <t>Max Single Sale (₹)</t>
  </si>
  <si>
    <t>Min Single Sale (₹)</t>
  </si>
  <si>
    <t>Row Labels</t>
  </si>
  <si>
    <t>Grand Total</t>
  </si>
  <si>
    <t>Sum of Revenue</t>
  </si>
  <si>
    <t>Sum of Units_Sold</t>
  </si>
  <si>
    <t>Sales &amp; Revenue Analysis Dashboard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</si>
</sst>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name val="Arial"/>
    </font>
    <font>
      <b/>
      <sz val="11"/>
      <color rgb="FF1F4E79"/>
      <name val="Arial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5" borderId="0" xfId="0" applyFont="1" applyFill="1"/>
    <xf numFmtId="0" fontId="5" fillId="3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[Sales_Dashboard_Data.xlsx]Dashboard!PivotTable4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Dashboard!$A$2:$A$38</c:f>
              <c:strCache>
                <c:ptCount val="36"/>
                <c:pt idx="0">
                  <c:v>01-Jan-2024</c:v>
                </c:pt>
                <c:pt idx="1">
                  <c:v>02-Jun-2024</c:v>
                </c:pt>
                <c:pt idx="2">
                  <c:v>03-Mar-2024</c:v>
                </c:pt>
                <c:pt idx="3">
                  <c:v>03-Oct-2024</c:v>
                </c:pt>
                <c:pt idx="4">
                  <c:v>04-Aug-2024</c:v>
                </c:pt>
                <c:pt idx="5">
                  <c:v>04-Dec-2024</c:v>
                </c:pt>
                <c:pt idx="6">
                  <c:v>05-Feb-2024</c:v>
                </c:pt>
                <c:pt idx="7">
                  <c:v>05-May-2024</c:v>
                </c:pt>
                <c:pt idx="8">
                  <c:v>05-Nov-2024</c:v>
                </c:pt>
                <c:pt idx="9">
                  <c:v>06-Sep-2024</c:v>
                </c:pt>
                <c:pt idx="10">
                  <c:v>07-Jul-2024</c:v>
                </c:pt>
                <c:pt idx="11">
                  <c:v>08-Apr-2024</c:v>
                </c:pt>
                <c:pt idx="12">
                  <c:v>14-Mar-2024</c:v>
                </c:pt>
                <c:pt idx="13">
                  <c:v>15-Dec-2024</c:v>
                </c:pt>
                <c:pt idx="14">
                  <c:v>15-Jan-2024</c:v>
                </c:pt>
                <c:pt idx="15">
                  <c:v>15-Jun-2024</c:v>
                </c:pt>
                <c:pt idx="16">
                  <c:v>15-Oct-2024</c:v>
                </c:pt>
                <c:pt idx="17">
                  <c:v>16-May-2024</c:v>
                </c:pt>
                <c:pt idx="18">
                  <c:v>17-Aug-2024</c:v>
                </c:pt>
                <c:pt idx="19">
                  <c:v>18-Feb-2024</c:v>
                </c:pt>
                <c:pt idx="20">
                  <c:v>18-Nov-2024</c:v>
                </c:pt>
                <c:pt idx="21">
                  <c:v>18-Sep-2024</c:v>
                </c:pt>
                <c:pt idx="22">
                  <c:v>19-Jul-2024</c:v>
                </c:pt>
                <c:pt idx="23">
                  <c:v>20-Apr-2024</c:v>
                </c:pt>
                <c:pt idx="24">
                  <c:v>25-Feb-2024</c:v>
                </c:pt>
                <c:pt idx="25">
                  <c:v>25-Jun-2024</c:v>
                </c:pt>
                <c:pt idx="26">
                  <c:v>27-Mar-2024</c:v>
                </c:pt>
                <c:pt idx="27">
                  <c:v>27-Oct-2024</c:v>
                </c:pt>
                <c:pt idx="28">
                  <c:v>28-Dec-2024</c:v>
                </c:pt>
                <c:pt idx="29">
                  <c:v>28-Jan-2024</c:v>
                </c:pt>
                <c:pt idx="30">
                  <c:v>28-May-2024</c:v>
                </c:pt>
                <c:pt idx="31">
                  <c:v>28-Sep-2024</c:v>
                </c:pt>
                <c:pt idx="32">
                  <c:v>29-Aug-2024</c:v>
                </c:pt>
                <c:pt idx="33">
                  <c:v>29-Nov-2024</c:v>
                </c:pt>
                <c:pt idx="34">
                  <c:v>30-Apr-2024</c:v>
                </c:pt>
                <c:pt idx="35">
                  <c:v>31-Jul-2024</c:v>
                </c:pt>
              </c:strCache>
            </c:strRef>
          </c:cat>
          <c:val>
            <c:numRef>
              <c:f>Dashboard!$B$2:$B$38</c:f>
              <c:numCache>
                <c:formatCode>General</c:formatCode>
                <c:ptCount val="36"/>
                <c:pt idx="0">
                  <c:v>340400</c:v>
                </c:pt>
                <c:pt idx="1">
                  <c:v>12060</c:v>
                </c:pt>
                <c:pt idx="2">
                  <c:v>13620</c:v>
                </c:pt>
                <c:pt idx="3">
                  <c:v>148020</c:v>
                </c:pt>
                <c:pt idx="4">
                  <c:v>717600</c:v>
                </c:pt>
                <c:pt idx="5">
                  <c:v>407640</c:v>
                </c:pt>
                <c:pt idx="6">
                  <c:v>16100</c:v>
                </c:pt>
                <c:pt idx="7">
                  <c:v>9720</c:v>
                </c:pt>
                <c:pt idx="8">
                  <c:v>49200</c:v>
                </c:pt>
                <c:pt idx="9">
                  <c:v>51960</c:v>
                </c:pt>
                <c:pt idx="10">
                  <c:v>676440</c:v>
                </c:pt>
                <c:pt idx="11">
                  <c:v>135700</c:v>
                </c:pt>
                <c:pt idx="12">
                  <c:v>683200</c:v>
                </c:pt>
                <c:pt idx="13">
                  <c:v>67020</c:v>
                </c:pt>
                <c:pt idx="14">
                  <c:v>632100</c:v>
                </c:pt>
                <c:pt idx="15">
                  <c:v>125040</c:v>
                </c:pt>
                <c:pt idx="16">
                  <c:v>5940</c:v>
                </c:pt>
                <c:pt idx="17">
                  <c:v>1372800</c:v>
                </c:pt>
                <c:pt idx="18">
                  <c:v>1676900</c:v>
                </c:pt>
                <c:pt idx="19">
                  <c:v>123000</c:v>
                </c:pt>
                <c:pt idx="20">
                  <c:v>1910800</c:v>
                </c:pt>
                <c:pt idx="21">
                  <c:v>367200</c:v>
                </c:pt>
                <c:pt idx="22">
                  <c:v>564000</c:v>
                </c:pt>
                <c:pt idx="23">
                  <c:v>90000</c:v>
                </c:pt>
                <c:pt idx="24">
                  <c:v>21450</c:v>
                </c:pt>
                <c:pt idx="25">
                  <c:v>39400</c:v>
                </c:pt>
                <c:pt idx="26">
                  <c:v>13600</c:v>
                </c:pt>
                <c:pt idx="27">
                  <c:v>123500</c:v>
                </c:pt>
                <c:pt idx="28">
                  <c:v>708060</c:v>
                </c:pt>
                <c:pt idx="29">
                  <c:v>289800</c:v>
                </c:pt>
                <c:pt idx="30">
                  <c:v>48600</c:v>
                </c:pt>
                <c:pt idx="31">
                  <c:v>18000</c:v>
                </c:pt>
                <c:pt idx="32">
                  <c:v>170000</c:v>
                </c:pt>
                <c:pt idx="33">
                  <c:v>412200</c:v>
                </c:pt>
                <c:pt idx="34">
                  <c:v>152500</c:v>
                </c:pt>
                <c:pt idx="35">
                  <c:v>127600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3-4EE9-A466-64A6083C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980079"/>
        <c:axId val="433980559"/>
      </c:barChart>
      <c:catAx>
        <c:axId val="43398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80559"/>
        <c:crosses val="autoZero"/>
        <c:auto val="1"/>
        <c:lblAlgn val="ctr"/>
        <c:lblOffset val="100"/>
        <c:noMultiLvlLbl val="0"/>
      </c:catAx>
      <c:valAx>
        <c:axId val="4339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8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Dashboard!$F$2:$F$12</c:f>
              <c:strCache>
                <c:ptCount val="10"/>
                <c:pt idx="0">
                  <c:v>Backpack</c:v>
                </c:pt>
                <c:pt idx="1">
                  <c:v>Cooking Oil</c:v>
                </c:pt>
                <c:pt idx="2">
                  <c:v>Headphones</c:v>
                </c:pt>
                <c:pt idx="3">
                  <c:v>Laptop</c:v>
                </c:pt>
                <c:pt idx="4">
                  <c:v>Notebook</c:v>
                </c:pt>
                <c:pt idx="5">
                  <c:v>Pen Set</c:v>
                </c:pt>
                <c:pt idx="6">
                  <c:v>Rice (5kg)</c:v>
                </c:pt>
                <c:pt idx="7">
                  <c:v>Shoes</c:v>
                </c:pt>
                <c:pt idx="8">
                  <c:v>Smartphone</c:v>
                </c:pt>
                <c:pt idx="9">
                  <c:v>T-Shirt</c:v>
                </c:pt>
              </c:strCache>
            </c:strRef>
          </c:cat>
          <c:val>
            <c:numRef>
              <c:f>Dashboard!$G$2:$G$12</c:f>
              <c:numCache>
                <c:formatCode>General</c:formatCode>
                <c:ptCount val="10"/>
                <c:pt idx="0">
                  <c:v>260400</c:v>
                </c:pt>
                <c:pt idx="1">
                  <c:v>48060</c:v>
                </c:pt>
                <c:pt idx="2">
                  <c:v>708000</c:v>
                </c:pt>
                <c:pt idx="3">
                  <c:v>5715000</c:v>
                </c:pt>
                <c:pt idx="4">
                  <c:v>31560</c:v>
                </c:pt>
                <c:pt idx="5">
                  <c:v>21400</c:v>
                </c:pt>
                <c:pt idx="6">
                  <c:v>33250</c:v>
                </c:pt>
                <c:pt idx="7">
                  <c:v>582500</c:v>
                </c:pt>
                <c:pt idx="8">
                  <c:v>4785000</c:v>
                </c:pt>
                <c:pt idx="9">
                  <c:v>136000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D-4889-9E9E-1C260AB5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117663"/>
        <c:axId val="532118143"/>
      </c:barChart>
      <c:catAx>
        <c:axId val="5321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18143"/>
        <c:crosses val="autoZero"/>
        <c:auto val="1"/>
        <c:lblAlgn val="ctr"/>
        <c:lblOffset val="100"/>
        <c:noMultiLvlLbl val="0"/>
      </c:catAx>
      <c:valAx>
        <c:axId val="5321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[Sales_Dashboard_Data.xlsx]Dashboard!PivotTable6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Dashboard!$M$2:$M$6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Stationery</c:v>
                </c:pt>
              </c:strCache>
            </c:strRef>
          </c:cat>
          <c:val>
            <c:numRef>
              <c:f>Dashboard!$N$2:$N$6</c:f>
              <c:numCache>
                <c:formatCode>General</c:formatCode>
                <c:ptCount val="4"/>
                <c:pt idx="0">
                  <c:v>11208000</c:v>
                </c:pt>
                <c:pt idx="1">
                  <c:v>978900</c:v>
                </c:pt>
                <c:pt idx="2">
                  <c:v>81310</c:v>
                </c:pt>
                <c:pt idx="3">
                  <c:v>52960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5-4AFE-9CAD-B8D2FD2AF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400143"/>
        <c:axId val="701402063"/>
      </c:barChart>
      <c:catAx>
        <c:axId val="70140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02063"/>
        <c:crosses val="autoZero"/>
        <c:auto val="1"/>
        <c:lblAlgn val="ctr"/>
        <c:lblOffset val="100"/>
        <c:noMultiLvlLbl val="0"/>
      </c:catAx>
      <c:valAx>
        <c:axId val="701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0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[Sales_Dashboard_Data.xlsx]Dashboard!PivotTable7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Dashboard!$T$2:$T$6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Dashboard!$U$2:$U$6</c:f>
              <c:numCache>
                <c:formatCode>General</c:formatCode>
                <c:ptCount val="4"/>
                <c:pt idx="0">
                  <c:v>314</c:v>
                </c:pt>
                <c:pt idx="1">
                  <c:v>630</c:v>
                </c:pt>
                <c:pt idx="2">
                  <c:v>648</c:v>
                </c:pt>
                <c:pt idx="3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612-AAF9-06B5F826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392943"/>
        <c:axId val="701403503"/>
      </c:barChart>
      <c:catAx>
        <c:axId val="70139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03503"/>
        <c:crosses val="autoZero"/>
        <c:auto val="1"/>
        <c:lblAlgn val="ctr"/>
        <c:lblOffset val="100"/>
        <c:noMultiLvlLbl val="0"/>
      </c:catAx>
      <c:valAx>
        <c:axId val="7014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9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104414</xdr:colOff>
      <xdr:row>40</xdr:row>
      <xdr:rowOff>144883</xdr:rowOff>
    </xdr:from>
    <xdr:to>
      <xdr:col>6</xdr:col>
      <xdr:colOff>810808</xdr:colOff>
      <xdr:row>55</xdr:row>
      <xdr:rowOff>144883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E6DC6-8558-2695-AC9C-BC2F2CC7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411891</xdr:colOff>
      <xdr:row>14</xdr:row>
      <xdr:rowOff>119569</xdr:rowOff>
    </xdr:from>
    <xdr:to>
      <xdr:col>10</xdr:col>
      <xdr:colOff>259491</xdr:colOff>
      <xdr:row>29</xdr:row>
      <xdr:rowOff>173358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5C356B-D9E2-A8EE-9CE9-74A75E4D7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545757</xdr:colOff>
      <xdr:row>8</xdr:row>
      <xdr:rowOff>90616</xdr:rowOff>
    </xdr:from>
    <xdr:to>
      <xdr:col>18</xdr:col>
      <xdr:colOff>51487</xdr:colOff>
      <xdr:row>23</xdr:row>
      <xdr:rowOff>53546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4784BC-6C5E-41A1-A55D-96F81BFDD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-1</xdr:colOff>
      <xdr:row>8</xdr:row>
      <xdr:rowOff>90616</xdr:rowOff>
    </xdr:from>
    <xdr:to>
      <xdr:col>25</xdr:col>
      <xdr:colOff>-1</xdr:colOff>
      <xdr:row>23</xdr:row>
      <xdr:rowOff>53546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36EF1E-7914-A9BD-44E5-F9F0D1960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9.524982060182" createdVersion="8" refreshedVersion="8" minRefreshableVersion="3" recordCount="72" xr:uid="{3B09DA83-54AD-46E5-83EE-D7ACACF13B11}">
  <cacheSource type="worksheet">
    <worksheetSource ref="A1:G73" sheet="Sales_Data"/>
  </cacheSource>
  <cacheFields count="7">
    <cacheField name="Date" numFmtId="0">
      <sharedItems count="36">
        <s v="01-Jan-2024"/>
        <s v="15-Jan-2024"/>
        <s v="28-Jan-2024"/>
        <s v="05-Feb-2024"/>
        <s v="18-Feb-2024"/>
        <s v="25-Feb-2024"/>
        <s v="03-Mar-2024"/>
        <s v="14-Mar-2024"/>
        <s v="27-Mar-2024"/>
        <s v="08-Apr-2024"/>
        <s v="20-Apr-2024"/>
        <s v="30-Apr-2024"/>
        <s v="05-May-2024"/>
        <s v="16-May-2024"/>
        <s v="28-May-2024"/>
        <s v="02-Jun-2024"/>
        <s v="15-Jun-2024"/>
        <s v="25-Jun-2024"/>
        <s v="07-Jul-2024"/>
        <s v="19-Jul-2024"/>
        <s v="31-Jul-2024"/>
        <s v="04-Aug-2024"/>
        <s v="17-Aug-2024"/>
        <s v="29-Aug-2024"/>
        <s v="06-Sep-2024"/>
        <s v="18-Sep-2024"/>
        <s v="28-Sep-2024"/>
        <s v="03-Oct-2024"/>
        <s v="15-Oct-2024"/>
        <s v="27-Oct-2024"/>
        <s v="05-Nov-2024"/>
        <s v="18-Nov-2024"/>
        <s v="29-Nov-2024"/>
        <s v="04-Dec-2024"/>
        <s v="15-Dec-2024"/>
        <s v="28-Dec-2024"/>
      </sharedItems>
    </cacheField>
    <cacheField name="Product" numFmtId="0">
      <sharedItems count="10">
        <s v="Smartphone"/>
        <s v="T-Shirt"/>
        <s v="Rice (5kg)"/>
        <s v="Notebook"/>
        <s v="Cooking Oil"/>
        <s v="Headphones"/>
        <s v="Shoes"/>
        <s v="Backpack"/>
        <s v="Pen Set"/>
        <s v="Laptop"/>
      </sharedItems>
    </cacheField>
    <cacheField name="Category" numFmtId="0">
      <sharedItems count="4">
        <s v="Electronics"/>
        <s v="Fashion"/>
        <s v="Grocery"/>
        <s v="Stationery"/>
      </sharedItems>
    </cacheField>
    <cacheField name="Region" numFmtId="0">
      <sharedItems count="4">
        <s v="North"/>
        <s v="South"/>
        <s v="West"/>
        <s v="East"/>
      </sharedItems>
    </cacheField>
    <cacheField name="Units_Sold" numFmtId="0">
      <sharedItems containsSemiMixedTypes="0" containsString="0" containsNumber="1" containsInteger="1" minValue="5" maxValue="50"/>
    </cacheField>
    <cacheField name="Price" numFmtId="0">
      <sharedItems containsSemiMixedTypes="0" containsString="0" containsNumber="1" containsInteger="1" minValue="120" maxValue="45000"/>
    </cacheField>
    <cacheField name="Revenue" numFmtId="0">
      <sharedItems containsSemiMixedTypes="0" containsString="0" containsNumber="1" containsInteger="1" minValue="900" maxValue="18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n v="22"/>
    <n v="15000"/>
    <n v="330000"/>
  </r>
  <r>
    <x v="0"/>
    <x v="1"/>
    <x v="1"/>
    <x v="1"/>
    <n v="13"/>
    <n v="800"/>
    <n v="10400"/>
  </r>
  <r>
    <x v="1"/>
    <x v="0"/>
    <x v="0"/>
    <x v="0"/>
    <n v="42"/>
    <n v="15000"/>
    <n v="630000"/>
  </r>
  <r>
    <x v="1"/>
    <x v="2"/>
    <x v="2"/>
    <x v="0"/>
    <n v="6"/>
    <n v="350"/>
    <n v="2100"/>
  </r>
  <r>
    <x v="2"/>
    <x v="0"/>
    <x v="0"/>
    <x v="1"/>
    <n v="19"/>
    <n v="15000"/>
    <n v="285000"/>
  </r>
  <r>
    <x v="2"/>
    <x v="3"/>
    <x v="3"/>
    <x v="0"/>
    <n v="40"/>
    <n v="120"/>
    <n v="4800"/>
  </r>
  <r>
    <x v="3"/>
    <x v="1"/>
    <x v="1"/>
    <x v="2"/>
    <n v="19"/>
    <n v="800"/>
    <n v="15200"/>
  </r>
  <r>
    <x v="3"/>
    <x v="4"/>
    <x v="2"/>
    <x v="3"/>
    <n v="5"/>
    <n v="180"/>
    <n v="900"/>
  </r>
  <r>
    <x v="4"/>
    <x v="5"/>
    <x v="0"/>
    <x v="2"/>
    <n v="26"/>
    <n v="3000"/>
    <n v="78000"/>
  </r>
  <r>
    <x v="4"/>
    <x v="6"/>
    <x v="1"/>
    <x v="1"/>
    <n v="18"/>
    <n v="2500"/>
    <n v="45000"/>
  </r>
  <r>
    <x v="5"/>
    <x v="7"/>
    <x v="1"/>
    <x v="0"/>
    <n v="10"/>
    <n v="1200"/>
    <n v="12000"/>
  </r>
  <r>
    <x v="5"/>
    <x v="2"/>
    <x v="2"/>
    <x v="0"/>
    <n v="27"/>
    <n v="350"/>
    <n v="9450"/>
  </r>
  <r>
    <x v="6"/>
    <x v="7"/>
    <x v="1"/>
    <x v="3"/>
    <n v="7"/>
    <n v="1200"/>
    <n v="8400"/>
  </r>
  <r>
    <x v="6"/>
    <x v="4"/>
    <x v="2"/>
    <x v="0"/>
    <n v="29"/>
    <n v="180"/>
    <n v="5220"/>
  </r>
  <r>
    <x v="7"/>
    <x v="0"/>
    <x v="0"/>
    <x v="3"/>
    <n v="45"/>
    <n v="15000"/>
    <n v="675000"/>
  </r>
  <r>
    <x v="7"/>
    <x v="8"/>
    <x v="3"/>
    <x v="3"/>
    <n v="41"/>
    <n v="200"/>
    <n v="8200"/>
  </r>
  <r>
    <x v="8"/>
    <x v="1"/>
    <x v="1"/>
    <x v="0"/>
    <n v="7"/>
    <n v="800"/>
    <n v="5600"/>
  </r>
  <r>
    <x v="8"/>
    <x v="1"/>
    <x v="1"/>
    <x v="3"/>
    <n v="10"/>
    <n v="800"/>
    <n v="8000"/>
  </r>
  <r>
    <x v="9"/>
    <x v="1"/>
    <x v="1"/>
    <x v="0"/>
    <n v="29"/>
    <n v="800"/>
    <n v="23200"/>
  </r>
  <r>
    <x v="9"/>
    <x v="6"/>
    <x v="1"/>
    <x v="2"/>
    <n v="45"/>
    <n v="2500"/>
    <n v="112500"/>
  </r>
  <r>
    <x v="10"/>
    <x v="7"/>
    <x v="1"/>
    <x v="1"/>
    <n v="28"/>
    <n v="1200"/>
    <n v="33600"/>
  </r>
  <r>
    <x v="10"/>
    <x v="7"/>
    <x v="1"/>
    <x v="1"/>
    <n v="47"/>
    <n v="1200"/>
    <n v="56400"/>
  </r>
  <r>
    <x v="11"/>
    <x v="6"/>
    <x v="1"/>
    <x v="0"/>
    <n v="43"/>
    <n v="2500"/>
    <n v="107500"/>
  </r>
  <r>
    <x v="11"/>
    <x v="5"/>
    <x v="0"/>
    <x v="1"/>
    <n v="15"/>
    <n v="3000"/>
    <n v="45000"/>
  </r>
  <r>
    <x v="12"/>
    <x v="4"/>
    <x v="2"/>
    <x v="2"/>
    <n v="22"/>
    <n v="180"/>
    <n v="3960"/>
  </r>
  <r>
    <x v="12"/>
    <x v="3"/>
    <x v="3"/>
    <x v="1"/>
    <n v="48"/>
    <n v="120"/>
    <n v="5760"/>
  </r>
  <r>
    <x v="13"/>
    <x v="7"/>
    <x v="1"/>
    <x v="0"/>
    <n v="19"/>
    <n v="1200"/>
    <n v="22800"/>
  </r>
  <r>
    <x v="13"/>
    <x v="9"/>
    <x v="0"/>
    <x v="3"/>
    <n v="30"/>
    <n v="45000"/>
    <n v="1350000"/>
  </r>
  <r>
    <x v="14"/>
    <x v="6"/>
    <x v="1"/>
    <x v="0"/>
    <n v="18"/>
    <n v="2500"/>
    <n v="45000"/>
  </r>
  <r>
    <x v="14"/>
    <x v="8"/>
    <x v="3"/>
    <x v="3"/>
    <n v="18"/>
    <n v="200"/>
    <n v="3600"/>
  </r>
  <r>
    <x v="15"/>
    <x v="4"/>
    <x v="2"/>
    <x v="2"/>
    <n v="46"/>
    <n v="180"/>
    <n v="8280"/>
  </r>
  <r>
    <x v="15"/>
    <x v="4"/>
    <x v="2"/>
    <x v="1"/>
    <n v="21"/>
    <n v="180"/>
    <n v="3780"/>
  </r>
  <r>
    <x v="16"/>
    <x v="5"/>
    <x v="0"/>
    <x v="1"/>
    <n v="40"/>
    <n v="3000"/>
    <n v="120000"/>
  </r>
  <r>
    <x v="16"/>
    <x v="3"/>
    <x v="3"/>
    <x v="3"/>
    <n v="42"/>
    <n v="120"/>
    <n v="5040"/>
  </r>
  <r>
    <x v="17"/>
    <x v="2"/>
    <x v="2"/>
    <x v="2"/>
    <n v="28"/>
    <n v="350"/>
    <n v="9800"/>
  </r>
  <r>
    <x v="17"/>
    <x v="1"/>
    <x v="1"/>
    <x v="1"/>
    <n v="37"/>
    <n v="800"/>
    <n v="29600"/>
  </r>
  <r>
    <x v="18"/>
    <x v="4"/>
    <x v="2"/>
    <x v="0"/>
    <n v="8"/>
    <n v="180"/>
    <n v="1440"/>
  </r>
  <r>
    <x v="18"/>
    <x v="0"/>
    <x v="0"/>
    <x v="1"/>
    <n v="45"/>
    <n v="15000"/>
    <n v="675000"/>
  </r>
  <r>
    <x v="19"/>
    <x v="5"/>
    <x v="0"/>
    <x v="2"/>
    <n v="43"/>
    <n v="3000"/>
    <n v="129000"/>
  </r>
  <r>
    <x v="19"/>
    <x v="0"/>
    <x v="0"/>
    <x v="2"/>
    <n v="29"/>
    <n v="15000"/>
    <n v="435000"/>
  </r>
  <r>
    <x v="20"/>
    <x v="8"/>
    <x v="3"/>
    <x v="2"/>
    <n v="38"/>
    <n v="200"/>
    <n v="7600"/>
  </r>
  <r>
    <x v="20"/>
    <x v="6"/>
    <x v="1"/>
    <x v="0"/>
    <n v="48"/>
    <n v="2500"/>
    <n v="120000"/>
  </r>
  <r>
    <x v="21"/>
    <x v="0"/>
    <x v="0"/>
    <x v="3"/>
    <n v="46"/>
    <n v="15000"/>
    <n v="690000"/>
  </r>
  <r>
    <x v="21"/>
    <x v="7"/>
    <x v="1"/>
    <x v="0"/>
    <n v="23"/>
    <n v="1200"/>
    <n v="27600"/>
  </r>
  <r>
    <x v="22"/>
    <x v="2"/>
    <x v="2"/>
    <x v="1"/>
    <n v="34"/>
    <n v="350"/>
    <n v="11900"/>
  </r>
  <r>
    <x v="22"/>
    <x v="9"/>
    <x v="0"/>
    <x v="3"/>
    <n v="37"/>
    <n v="45000"/>
    <n v="1665000"/>
  </r>
  <r>
    <x v="23"/>
    <x v="5"/>
    <x v="0"/>
    <x v="0"/>
    <n v="45"/>
    <n v="3000"/>
    <n v="135000"/>
  </r>
  <r>
    <x v="23"/>
    <x v="6"/>
    <x v="1"/>
    <x v="1"/>
    <n v="14"/>
    <n v="2500"/>
    <n v="35000"/>
  </r>
  <r>
    <x v="24"/>
    <x v="7"/>
    <x v="1"/>
    <x v="1"/>
    <n v="39"/>
    <n v="1200"/>
    <n v="46800"/>
  </r>
  <r>
    <x v="24"/>
    <x v="3"/>
    <x v="3"/>
    <x v="0"/>
    <n v="43"/>
    <n v="120"/>
    <n v="5160"/>
  </r>
  <r>
    <x v="25"/>
    <x v="7"/>
    <x v="1"/>
    <x v="2"/>
    <n v="6"/>
    <n v="1200"/>
    <n v="7200"/>
  </r>
  <r>
    <x v="25"/>
    <x v="0"/>
    <x v="0"/>
    <x v="3"/>
    <n v="24"/>
    <n v="15000"/>
    <n v="360000"/>
  </r>
  <r>
    <x v="26"/>
    <x v="1"/>
    <x v="1"/>
    <x v="0"/>
    <n v="20"/>
    <n v="800"/>
    <n v="16000"/>
  </r>
  <r>
    <x v="26"/>
    <x v="8"/>
    <x v="3"/>
    <x v="0"/>
    <n v="10"/>
    <n v="200"/>
    <n v="2000"/>
  </r>
  <r>
    <x v="27"/>
    <x v="4"/>
    <x v="2"/>
    <x v="0"/>
    <n v="39"/>
    <n v="180"/>
    <n v="7020"/>
  </r>
  <r>
    <x v="27"/>
    <x v="5"/>
    <x v="0"/>
    <x v="1"/>
    <n v="47"/>
    <n v="3000"/>
    <n v="141000"/>
  </r>
  <r>
    <x v="28"/>
    <x v="4"/>
    <x v="2"/>
    <x v="1"/>
    <n v="21"/>
    <n v="180"/>
    <n v="3780"/>
  </r>
  <r>
    <x v="28"/>
    <x v="3"/>
    <x v="3"/>
    <x v="2"/>
    <n v="18"/>
    <n v="120"/>
    <n v="2160"/>
  </r>
  <r>
    <x v="29"/>
    <x v="3"/>
    <x v="3"/>
    <x v="1"/>
    <n v="50"/>
    <n v="120"/>
    <n v="6000"/>
  </r>
  <r>
    <x v="29"/>
    <x v="6"/>
    <x v="1"/>
    <x v="2"/>
    <n v="47"/>
    <n v="2500"/>
    <n v="117500"/>
  </r>
  <r>
    <x v="30"/>
    <x v="7"/>
    <x v="1"/>
    <x v="2"/>
    <n v="38"/>
    <n v="1200"/>
    <n v="45600"/>
  </r>
  <r>
    <x v="30"/>
    <x v="4"/>
    <x v="2"/>
    <x v="0"/>
    <n v="20"/>
    <n v="180"/>
    <n v="3600"/>
  </r>
  <r>
    <x v="31"/>
    <x v="1"/>
    <x v="1"/>
    <x v="0"/>
    <n v="26"/>
    <n v="800"/>
    <n v="20800"/>
  </r>
  <r>
    <x v="31"/>
    <x v="9"/>
    <x v="0"/>
    <x v="1"/>
    <n v="42"/>
    <n v="45000"/>
    <n v="1890000"/>
  </r>
  <r>
    <x v="32"/>
    <x v="1"/>
    <x v="1"/>
    <x v="0"/>
    <n v="9"/>
    <n v="800"/>
    <n v="7200"/>
  </r>
  <r>
    <x v="32"/>
    <x v="9"/>
    <x v="0"/>
    <x v="1"/>
    <n v="9"/>
    <n v="45000"/>
    <n v="405000"/>
  </r>
  <r>
    <x v="33"/>
    <x v="9"/>
    <x v="0"/>
    <x v="3"/>
    <n v="9"/>
    <n v="45000"/>
    <n v="405000"/>
  </r>
  <r>
    <x v="33"/>
    <x v="3"/>
    <x v="3"/>
    <x v="1"/>
    <n v="22"/>
    <n v="120"/>
    <n v="2640"/>
  </r>
  <r>
    <x v="34"/>
    <x v="4"/>
    <x v="2"/>
    <x v="1"/>
    <n v="39"/>
    <n v="180"/>
    <n v="7020"/>
  </r>
  <r>
    <x v="34"/>
    <x v="5"/>
    <x v="0"/>
    <x v="2"/>
    <n v="20"/>
    <n v="3000"/>
    <n v="60000"/>
  </r>
  <r>
    <x v="35"/>
    <x v="4"/>
    <x v="2"/>
    <x v="2"/>
    <n v="17"/>
    <n v="180"/>
    <n v="3060"/>
  </r>
  <r>
    <x v="35"/>
    <x v="0"/>
    <x v="0"/>
    <x v="0"/>
    <n v="47"/>
    <n v="15000"/>
    <n v="70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8CD9D-E5E6-452C-8556-00C864841E4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1:U6" firstHeaderRow="1" firstDataRow="1" firstDataCol="1"/>
  <pivotFields count="7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25051-D9D7-47DA-8595-32CE74ACBA97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:N6" firstHeaderRow="1" firstDataRow="1" firstDataCol="1"/>
  <pivotFields count="7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2840-003A-4ED9-869F-8BCF0339391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:G12" firstHeaderRow="1" firstDataRow="1" firstDataCol="1"/>
  <pivotFields count="7">
    <pivotField showAll="0"/>
    <pivotField axis="axisRow" showAll="0">
      <items count="11">
        <item x="7"/>
        <item x="4"/>
        <item x="5"/>
        <item x="9"/>
        <item x="3"/>
        <item x="8"/>
        <item x="2"/>
        <item x="6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82A69-86FF-4FE5-BDE1-FAABC3C841E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8" firstHeaderRow="1" firstDataRow="1" firstDataCol="1"/>
  <pivotFields count="7">
    <pivotField axis="axisRow" showAll="0">
      <items count="37">
        <item x="0"/>
        <item x="15"/>
        <item x="6"/>
        <item x="27"/>
        <item x="21"/>
        <item x="33"/>
        <item x="3"/>
        <item x="12"/>
        <item x="30"/>
        <item x="24"/>
        <item x="18"/>
        <item x="9"/>
        <item x="7"/>
        <item x="34"/>
        <item x="1"/>
        <item x="16"/>
        <item x="28"/>
        <item x="13"/>
        <item x="22"/>
        <item x="4"/>
        <item x="31"/>
        <item x="25"/>
        <item x="19"/>
        <item x="10"/>
        <item x="5"/>
        <item x="17"/>
        <item x="8"/>
        <item x="29"/>
        <item x="35"/>
        <item x="2"/>
        <item x="14"/>
        <item x="26"/>
        <item x="23"/>
        <item x="32"/>
        <item x="11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workbookViewId="0">
      <selection sqref="A1:G73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0" customWidth="1"/>
    <col min="5" max="6" width="12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22</v>
      </c>
      <c r="F2" s="2">
        <v>15000</v>
      </c>
      <c r="G2" s="2">
        <f t="shared" ref="G2:G33" si="0">E2*F2</f>
        <v>330000</v>
      </c>
    </row>
    <row r="3" spans="1:7" x14ac:dyDescent="0.3">
      <c r="A3" s="3" t="s">
        <v>7</v>
      </c>
      <c r="B3" s="3" t="s">
        <v>11</v>
      </c>
      <c r="C3" s="3" t="s">
        <v>12</v>
      </c>
      <c r="D3" s="3" t="s">
        <v>13</v>
      </c>
      <c r="E3" s="3">
        <v>13</v>
      </c>
      <c r="F3" s="3">
        <v>800</v>
      </c>
      <c r="G3" s="3">
        <f t="shared" si="0"/>
        <v>10400</v>
      </c>
    </row>
    <row r="4" spans="1:7" x14ac:dyDescent="0.3">
      <c r="A4" s="2" t="s">
        <v>14</v>
      </c>
      <c r="B4" s="2" t="s">
        <v>8</v>
      </c>
      <c r="C4" s="2" t="s">
        <v>9</v>
      </c>
      <c r="D4" s="2" t="s">
        <v>10</v>
      </c>
      <c r="E4" s="2">
        <v>42</v>
      </c>
      <c r="F4" s="2">
        <v>15000</v>
      </c>
      <c r="G4" s="2">
        <f t="shared" si="0"/>
        <v>630000</v>
      </c>
    </row>
    <row r="5" spans="1:7" x14ac:dyDescent="0.3">
      <c r="A5" s="3" t="s">
        <v>14</v>
      </c>
      <c r="B5" s="3" t="s">
        <v>15</v>
      </c>
      <c r="C5" s="3" t="s">
        <v>16</v>
      </c>
      <c r="D5" s="3" t="s">
        <v>10</v>
      </c>
      <c r="E5" s="3">
        <v>6</v>
      </c>
      <c r="F5" s="3">
        <v>350</v>
      </c>
      <c r="G5" s="3">
        <f t="shared" si="0"/>
        <v>2100</v>
      </c>
    </row>
    <row r="6" spans="1:7" x14ac:dyDescent="0.3">
      <c r="A6" s="2" t="s">
        <v>17</v>
      </c>
      <c r="B6" s="2" t="s">
        <v>8</v>
      </c>
      <c r="C6" s="2" t="s">
        <v>9</v>
      </c>
      <c r="D6" s="2" t="s">
        <v>13</v>
      </c>
      <c r="E6" s="2">
        <v>19</v>
      </c>
      <c r="F6" s="2">
        <v>15000</v>
      </c>
      <c r="G6" s="2">
        <f t="shared" si="0"/>
        <v>285000</v>
      </c>
    </row>
    <row r="7" spans="1:7" x14ac:dyDescent="0.3">
      <c r="A7" s="3" t="s">
        <v>17</v>
      </c>
      <c r="B7" s="3" t="s">
        <v>18</v>
      </c>
      <c r="C7" s="3" t="s">
        <v>19</v>
      </c>
      <c r="D7" s="3" t="s">
        <v>10</v>
      </c>
      <c r="E7" s="3">
        <v>40</v>
      </c>
      <c r="F7" s="3">
        <v>120</v>
      </c>
      <c r="G7" s="3">
        <f t="shared" si="0"/>
        <v>4800</v>
      </c>
    </row>
    <row r="8" spans="1:7" x14ac:dyDescent="0.3">
      <c r="A8" s="2" t="s">
        <v>20</v>
      </c>
      <c r="B8" s="2" t="s">
        <v>11</v>
      </c>
      <c r="C8" s="2" t="s">
        <v>12</v>
      </c>
      <c r="D8" s="2" t="s">
        <v>21</v>
      </c>
      <c r="E8" s="2">
        <v>19</v>
      </c>
      <c r="F8" s="2">
        <v>800</v>
      </c>
      <c r="G8" s="2">
        <f t="shared" si="0"/>
        <v>15200</v>
      </c>
    </row>
    <row r="9" spans="1:7" x14ac:dyDescent="0.3">
      <c r="A9" s="3" t="s">
        <v>20</v>
      </c>
      <c r="B9" s="3" t="s">
        <v>22</v>
      </c>
      <c r="C9" s="3" t="s">
        <v>16</v>
      </c>
      <c r="D9" s="3" t="s">
        <v>23</v>
      </c>
      <c r="E9" s="3">
        <v>5</v>
      </c>
      <c r="F9" s="3">
        <v>180</v>
      </c>
      <c r="G9" s="3">
        <f t="shared" si="0"/>
        <v>900</v>
      </c>
    </row>
    <row r="10" spans="1:7" x14ac:dyDescent="0.3">
      <c r="A10" s="2" t="s">
        <v>24</v>
      </c>
      <c r="B10" s="2" t="s">
        <v>25</v>
      </c>
      <c r="C10" s="2" t="s">
        <v>9</v>
      </c>
      <c r="D10" s="2" t="s">
        <v>21</v>
      </c>
      <c r="E10" s="2">
        <v>26</v>
      </c>
      <c r="F10" s="2">
        <v>3000</v>
      </c>
      <c r="G10" s="2">
        <f t="shared" si="0"/>
        <v>78000</v>
      </c>
    </row>
    <row r="11" spans="1:7" x14ac:dyDescent="0.3">
      <c r="A11" s="3" t="s">
        <v>24</v>
      </c>
      <c r="B11" s="3" t="s">
        <v>26</v>
      </c>
      <c r="C11" s="3" t="s">
        <v>12</v>
      </c>
      <c r="D11" s="3" t="s">
        <v>13</v>
      </c>
      <c r="E11" s="3">
        <v>18</v>
      </c>
      <c r="F11" s="3">
        <v>2500</v>
      </c>
      <c r="G11" s="3">
        <f t="shared" si="0"/>
        <v>45000</v>
      </c>
    </row>
    <row r="12" spans="1:7" x14ac:dyDescent="0.3">
      <c r="A12" s="2" t="s">
        <v>27</v>
      </c>
      <c r="B12" s="2" t="s">
        <v>28</v>
      </c>
      <c r="C12" s="2" t="s">
        <v>12</v>
      </c>
      <c r="D12" s="2" t="s">
        <v>10</v>
      </c>
      <c r="E12" s="2">
        <v>10</v>
      </c>
      <c r="F12" s="2">
        <v>1200</v>
      </c>
      <c r="G12" s="2">
        <f t="shared" si="0"/>
        <v>12000</v>
      </c>
    </row>
    <row r="13" spans="1:7" x14ac:dyDescent="0.3">
      <c r="A13" s="3" t="s">
        <v>27</v>
      </c>
      <c r="B13" s="3" t="s">
        <v>15</v>
      </c>
      <c r="C13" s="3" t="s">
        <v>16</v>
      </c>
      <c r="D13" s="3" t="s">
        <v>10</v>
      </c>
      <c r="E13" s="3">
        <v>27</v>
      </c>
      <c r="F13" s="3">
        <v>350</v>
      </c>
      <c r="G13" s="3">
        <f t="shared" si="0"/>
        <v>9450</v>
      </c>
    </row>
    <row r="14" spans="1:7" x14ac:dyDescent="0.3">
      <c r="A14" s="2" t="s">
        <v>29</v>
      </c>
      <c r="B14" s="2" t="s">
        <v>28</v>
      </c>
      <c r="C14" s="2" t="s">
        <v>12</v>
      </c>
      <c r="D14" s="2" t="s">
        <v>23</v>
      </c>
      <c r="E14" s="2">
        <v>7</v>
      </c>
      <c r="F14" s="2">
        <v>1200</v>
      </c>
      <c r="G14" s="2">
        <f t="shared" si="0"/>
        <v>8400</v>
      </c>
    </row>
    <row r="15" spans="1:7" x14ac:dyDescent="0.3">
      <c r="A15" s="3" t="s">
        <v>29</v>
      </c>
      <c r="B15" s="3" t="s">
        <v>22</v>
      </c>
      <c r="C15" s="3" t="s">
        <v>16</v>
      </c>
      <c r="D15" s="3" t="s">
        <v>10</v>
      </c>
      <c r="E15" s="3">
        <v>29</v>
      </c>
      <c r="F15" s="3">
        <v>180</v>
      </c>
      <c r="G15" s="3">
        <f t="shared" si="0"/>
        <v>5220</v>
      </c>
    </row>
    <row r="16" spans="1:7" x14ac:dyDescent="0.3">
      <c r="A16" s="2" t="s">
        <v>30</v>
      </c>
      <c r="B16" s="2" t="s">
        <v>8</v>
      </c>
      <c r="C16" s="2" t="s">
        <v>9</v>
      </c>
      <c r="D16" s="2" t="s">
        <v>23</v>
      </c>
      <c r="E16" s="2">
        <v>45</v>
      </c>
      <c r="F16" s="2">
        <v>15000</v>
      </c>
      <c r="G16" s="2">
        <f t="shared" si="0"/>
        <v>675000</v>
      </c>
    </row>
    <row r="17" spans="1:7" x14ac:dyDescent="0.3">
      <c r="A17" s="3" t="s">
        <v>30</v>
      </c>
      <c r="B17" s="3" t="s">
        <v>31</v>
      </c>
      <c r="C17" s="3" t="s">
        <v>19</v>
      </c>
      <c r="D17" s="3" t="s">
        <v>23</v>
      </c>
      <c r="E17" s="3">
        <v>41</v>
      </c>
      <c r="F17" s="3">
        <v>200</v>
      </c>
      <c r="G17" s="3">
        <f t="shared" si="0"/>
        <v>8200</v>
      </c>
    </row>
    <row r="18" spans="1:7" x14ac:dyDescent="0.3">
      <c r="A18" s="2" t="s">
        <v>32</v>
      </c>
      <c r="B18" s="2" t="s">
        <v>11</v>
      </c>
      <c r="C18" s="2" t="s">
        <v>12</v>
      </c>
      <c r="D18" s="2" t="s">
        <v>10</v>
      </c>
      <c r="E18" s="2">
        <v>7</v>
      </c>
      <c r="F18" s="2">
        <v>800</v>
      </c>
      <c r="G18" s="2">
        <f t="shared" si="0"/>
        <v>5600</v>
      </c>
    </row>
    <row r="19" spans="1:7" x14ac:dyDescent="0.3">
      <c r="A19" s="3" t="s">
        <v>32</v>
      </c>
      <c r="B19" s="3" t="s">
        <v>11</v>
      </c>
      <c r="C19" s="3" t="s">
        <v>12</v>
      </c>
      <c r="D19" s="3" t="s">
        <v>23</v>
      </c>
      <c r="E19" s="3">
        <v>10</v>
      </c>
      <c r="F19" s="3">
        <v>800</v>
      </c>
      <c r="G19" s="3">
        <f t="shared" si="0"/>
        <v>8000</v>
      </c>
    </row>
    <row r="20" spans="1:7" x14ac:dyDescent="0.3">
      <c r="A20" s="2" t="s">
        <v>33</v>
      </c>
      <c r="B20" s="2" t="s">
        <v>11</v>
      </c>
      <c r="C20" s="2" t="s">
        <v>12</v>
      </c>
      <c r="D20" s="2" t="s">
        <v>10</v>
      </c>
      <c r="E20" s="2">
        <v>29</v>
      </c>
      <c r="F20" s="2">
        <v>800</v>
      </c>
      <c r="G20" s="2">
        <f t="shared" si="0"/>
        <v>23200</v>
      </c>
    </row>
    <row r="21" spans="1:7" x14ac:dyDescent="0.3">
      <c r="A21" s="3" t="s">
        <v>33</v>
      </c>
      <c r="B21" s="3" t="s">
        <v>26</v>
      </c>
      <c r="C21" s="3" t="s">
        <v>12</v>
      </c>
      <c r="D21" s="3" t="s">
        <v>21</v>
      </c>
      <c r="E21" s="3">
        <v>45</v>
      </c>
      <c r="F21" s="3">
        <v>2500</v>
      </c>
      <c r="G21" s="3">
        <f t="shared" si="0"/>
        <v>112500</v>
      </c>
    </row>
    <row r="22" spans="1:7" x14ac:dyDescent="0.3">
      <c r="A22" s="2" t="s">
        <v>34</v>
      </c>
      <c r="B22" s="2" t="s">
        <v>28</v>
      </c>
      <c r="C22" s="2" t="s">
        <v>12</v>
      </c>
      <c r="D22" s="2" t="s">
        <v>13</v>
      </c>
      <c r="E22" s="2">
        <v>28</v>
      </c>
      <c r="F22" s="2">
        <v>1200</v>
      </c>
      <c r="G22" s="2">
        <f t="shared" si="0"/>
        <v>33600</v>
      </c>
    </row>
    <row r="23" spans="1:7" x14ac:dyDescent="0.3">
      <c r="A23" s="3" t="s">
        <v>34</v>
      </c>
      <c r="B23" s="3" t="s">
        <v>28</v>
      </c>
      <c r="C23" s="3" t="s">
        <v>12</v>
      </c>
      <c r="D23" s="3" t="s">
        <v>13</v>
      </c>
      <c r="E23" s="3">
        <v>47</v>
      </c>
      <c r="F23" s="3">
        <v>1200</v>
      </c>
      <c r="G23" s="3">
        <f t="shared" si="0"/>
        <v>56400</v>
      </c>
    </row>
    <row r="24" spans="1:7" x14ac:dyDescent="0.3">
      <c r="A24" s="2" t="s">
        <v>35</v>
      </c>
      <c r="B24" s="2" t="s">
        <v>26</v>
      </c>
      <c r="C24" s="2" t="s">
        <v>12</v>
      </c>
      <c r="D24" s="2" t="s">
        <v>10</v>
      </c>
      <c r="E24" s="2">
        <v>43</v>
      </c>
      <c r="F24" s="2">
        <v>2500</v>
      </c>
      <c r="G24" s="2">
        <f t="shared" si="0"/>
        <v>107500</v>
      </c>
    </row>
    <row r="25" spans="1:7" x14ac:dyDescent="0.3">
      <c r="A25" s="3" t="s">
        <v>35</v>
      </c>
      <c r="B25" s="3" t="s">
        <v>25</v>
      </c>
      <c r="C25" s="3" t="s">
        <v>9</v>
      </c>
      <c r="D25" s="3" t="s">
        <v>13</v>
      </c>
      <c r="E25" s="3">
        <v>15</v>
      </c>
      <c r="F25" s="3">
        <v>3000</v>
      </c>
      <c r="G25" s="3">
        <f t="shared" si="0"/>
        <v>45000</v>
      </c>
    </row>
    <row r="26" spans="1:7" x14ac:dyDescent="0.3">
      <c r="A26" s="2" t="s">
        <v>36</v>
      </c>
      <c r="B26" s="2" t="s">
        <v>22</v>
      </c>
      <c r="C26" s="2" t="s">
        <v>16</v>
      </c>
      <c r="D26" s="2" t="s">
        <v>21</v>
      </c>
      <c r="E26" s="2">
        <v>22</v>
      </c>
      <c r="F26" s="2">
        <v>180</v>
      </c>
      <c r="G26" s="2">
        <f t="shared" si="0"/>
        <v>3960</v>
      </c>
    </row>
    <row r="27" spans="1:7" x14ac:dyDescent="0.3">
      <c r="A27" s="3" t="s">
        <v>36</v>
      </c>
      <c r="B27" s="3" t="s">
        <v>18</v>
      </c>
      <c r="C27" s="3" t="s">
        <v>19</v>
      </c>
      <c r="D27" s="3" t="s">
        <v>13</v>
      </c>
      <c r="E27" s="3">
        <v>48</v>
      </c>
      <c r="F27" s="3">
        <v>120</v>
      </c>
      <c r="G27" s="3">
        <f t="shared" si="0"/>
        <v>5760</v>
      </c>
    </row>
    <row r="28" spans="1:7" x14ac:dyDescent="0.3">
      <c r="A28" s="2" t="s">
        <v>37</v>
      </c>
      <c r="B28" s="2" t="s">
        <v>28</v>
      </c>
      <c r="C28" s="2" t="s">
        <v>12</v>
      </c>
      <c r="D28" s="2" t="s">
        <v>10</v>
      </c>
      <c r="E28" s="2">
        <v>19</v>
      </c>
      <c r="F28" s="2">
        <v>1200</v>
      </c>
      <c r="G28" s="2">
        <f t="shared" si="0"/>
        <v>22800</v>
      </c>
    </row>
    <row r="29" spans="1:7" x14ac:dyDescent="0.3">
      <c r="A29" s="3" t="s">
        <v>37</v>
      </c>
      <c r="B29" s="3" t="s">
        <v>38</v>
      </c>
      <c r="C29" s="3" t="s">
        <v>9</v>
      </c>
      <c r="D29" s="3" t="s">
        <v>23</v>
      </c>
      <c r="E29" s="3">
        <v>30</v>
      </c>
      <c r="F29" s="3">
        <v>45000</v>
      </c>
      <c r="G29" s="3">
        <f t="shared" si="0"/>
        <v>1350000</v>
      </c>
    </row>
    <row r="30" spans="1:7" x14ac:dyDescent="0.3">
      <c r="A30" s="2" t="s">
        <v>39</v>
      </c>
      <c r="B30" s="2" t="s">
        <v>26</v>
      </c>
      <c r="C30" s="2" t="s">
        <v>12</v>
      </c>
      <c r="D30" s="2" t="s">
        <v>10</v>
      </c>
      <c r="E30" s="2">
        <v>18</v>
      </c>
      <c r="F30" s="2">
        <v>2500</v>
      </c>
      <c r="G30" s="2">
        <f t="shared" si="0"/>
        <v>45000</v>
      </c>
    </row>
    <row r="31" spans="1:7" x14ac:dyDescent="0.3">
      <c r="A31" s="3" t="s">
        <v>39</v>
      </c>
      <c r="B31" s="3" t="s">
        <v>31</v>
      </c>
      <c r="C31" s="3" t="s">
        <v>19</v>
      </c>
      <c r="D31" s="3" t="s">
        <v>23</v>
      </c>
      <c r="E31" s="3">
        <v>18</v>
      </c>
      <c r="F31" s="3">
        <v>200</v>
      </c>
      <c r="G31" s="3">
        <f t="shared" si="0"/>
        <v>3600</v>
      </c>
    </row>
    <row r="32" spans="1:7" x14ac:dyDescent="0.3">
      <c r="A32" s="2" t="s">
        <v>40</v>
      </c>
      <c r="B32" s="2" t="s">
        <v>22</v>
      </c>
      <c r="C32" s="2" t="s">
        <v>16</v>
      </c>
      <c r="D32" s="2" t="s">
        <v>21</v>
      </c>
      <c r="E32" s="2">
        <v>46</v>
      </c>
      <c r="F32" s="2">
        <v>180</v>
      </c>
      <c r="G32" s="2">
        <f t="shared" si="0"/>
        <v>8280</v>
      </c>
    </row>
    <row r="33" spans="1:7" x14ac:dyDescent="0.3">
      <c r="A33" s="3" t="s">
        <v>40</v>
      </c>
      <c r="B33" s="3" t="s">
        <v>22</v>
      </c>
      <c r="C33" s="3" t="s">
        <v>16</v>
      </c>
      <c r="D33" s="3" t="s">
        <v>13</v>
      </c>
      <c r="E33" s="3">
        <v>21</v>
      </c>
      <c r="F33" s="3">
        <v>180</v>
      </c>
      <c r="G33" s="3">
        <f t="shared" si="0"/>
        <v>3780</v>
      </c>
    </row>
    <row r="34" spans="1:7" x14ac:dyDescent="0.3">
      <c r="A34" s="2" t="s">
        <v>41</v>
      </c>
      <c r="B34" s="2" t="s">
        <v>25</v>
      </c>
      <c r="C34" s="2" t="s">
        <v>9</v>
      </c>
      <c r="D34" s="2" t="s">
        <v>13</v>
      </c>
      <c r="E34" s="2">
        <v>40</v>
      </c>
      <c r="F34" s="2">
        <v>3000</v>
      </c>
      <c r="G34" s="2">
        <f t="shared" ref="G34:G65" si="1">E34*F34</f>
        <v>120000</v>
      </c>
    </row>
    <row r="35" spans="1:7" x14ac:dyDescent="0.3">
      <c r="A35" s="3" t="s">
        <v>41</v>
      </c>
      <c r="B35" s="3" t="s">
        <v>18</v>
      </c>
      <c r="C35" s="3" t="s">
        <v>19</v>
      </c>
      <c r="D35" s="3" t="s">
        <v>23</v>
      </c>
      <c r="E35" s="3">
        <v>42</v>
      </c>
      <c r="F35" s="3">
        <v>120</v>
      </c>
      <c r="G35" s="3">
        <f t="shared" si="1"/>
        <v>5040</v>
      </c>
    </row>
    <row r="36" spans="1:7" x14ac:dyDescent="0.3">
      <c r="A36" s="2" t="s">
        <v>42</v>
      </c>
      <c r="B36" s="2" t="s">
        <v>15</v>
      </c>
      <c r="C36" s="2" t="s">
        <v>16</v>
      </c>
      <c r="D36" s="2" t="s">
        <v>21</v>
      </c>
      <c r="E36" s="2">
        <v>28</v>
      </c>
      <c r="F36" s="2">
        <v>350</v>
      </c>
      <c r="G36" s="2">
        <f t="shared" si="1"/>
        <v>9800</v>
      </c>
    </row>
    <row r="37" spans="1:7" x14ac:dyDescent="0.3">
      <c r="A37" s="3" t="s">
        <v>42</v>
      </c>
      <c r="B37" s="3" t="s">
        <v>11</v>
      </c>
      <c r="C37" s="3" t="s">
        <v>12</v>
      </c>
      <c r="D37" s="3" t="s">
        <v>13</v>
      </c>
      <c r="E37" s="3">
        <v>37</v>
      </c>
      <c r="F37" s="3">
        <v>800</v>
      </c>
      <c r="G37" s="3">
        <f t="shared" si="1"/>
        <v>29600</v>
      </c>
    </row>
    <row r="38" spans="1:7" x14ac:dyDescent="0.3">
      <c r="A38" s="2" t="s">
        <v>43</v>
      </c>
      <c r="B38" s="2" t="s">
        <v>22</v>
      </c>
      <c r="C38" s="2" t="s">
        <v>16</v>
      </c>
      <c r="D38" s="2" t="s">
        <v>10</v>
      </c>
      <c r="E38" s="2">
        <v>8</v>
      </c>
      <c r="F38" s="2">
        <v>180</v>
      </c>
      <c r="G38" s="2">
        <f t="shared" si="1"/>
        <v>1440</v>
      </c>
    </row>
    <row r="39" spans="1:7" x14ac:dyDescent="0.3">
      <c r="A39" s="3" t="s">
        <v>43</v>
      </c>
      <c r="B39" s="3" t="s">
        <v>8</v>
      </c>
      <c r="C39" s="3" t="s">
        <v>9</v>
      </c>
      <c r="D39" s="3" t="s">
        <v>13</v>
      </c>
      <c r="E39" s="3">
        <v>45</v>
      </c>
      <c r="F39" s="3">
        <v>15000</v>
      </c>
      <c r="G39" s="3">
        <f t="shared" si="1"/>
        <v>675000</v>
      </c>
    </row>
    <row r="40" spans="1:7" x14ac:dyDescent="0.3">
      <c r="A40" s="2" t="s">
        <v>44</v>
      </c>
      <c r="B40" s="2" t="s">
        <v>25</v>
      </c>
      <c r="C40" s="2" t="s">
        <v>9</v>
      </c>
      <c r="D40" s="2" t="s">
        <v>21</v>
      </c>
      <c r="E40" s="2">
        <v>43</v>
      </c>
      <c r="F40" s="2">
        <v>3000</v>
      </c>
      <c r="G40" s="2">
        <f t="shared" si="1"/>
        <v>129000</v>
      </c>
    </row>
    <row r="41" spans="1:7" x14ac:dyDescent="0.3">
      <c r="A41" s="3" t="s">
        <v>44</v>
      </c>
      <c r="B41" s="3" t="s">
        <v>8</v>
      </c>
      <c r="C41" s="3" t="s">
        <v>9</v>
      </c>
      <c r="D41" s="3" t="s">
        <v>21</v>
      </c>
      <c r="E41" s="3">
        <v>29</v>
      </c>
      <c r="F41" s="3">
        <v>15000</v>
      </c>
      <c r="G41" s="3">
        <f t="shared" si="1"/>
        <v>435000</v>
      </c>
    </row>
    <row r="42" spans="1:7" x14ac:dyDescent="0.3">
      <c r="A42" s="2" t="s">
        <v>45</v>
      </c>
      <c r="B42" s="2" t="s">
        <v>31</v>
      </c>
      <c r="C42" s="2" t="s">
        <v>19</v>
      </c>
      <c r="D42" s="2" t="s">
        <v>21</v>
      </c>
      <c r="E42" s="2">
        <v>38</v>
      </c>
      <c r="F42" s="2">
        <v>200</v>
      </c>
      <c r="G42" s="2">
        <f t="shared" si="1"/>
        <v>7600</v>
      </c>
    </row>
    <row r="43" spans="1:7" x14ac:dyDescent="0.3">
      <c r="A43" s="3" t="s">
        <v>45</v>
      </c>
      <c r="B43" s="3" t="s">
        <v>26</v>
      </c>
      <c r="C43" s="3" t="s">
        <v>12</v>
      </c>
      <c r="D43" s="3" t="s">
        <v>10</v>
      </c>
      <c r="E43" s="3">
        <v>48</v>
      </c>
      <c r="F43" s="3">
        <v>2500</v>
      </c>
      <c r="G43" s="3">
        <f t="shared" si="1"/>
        <v>120000</v>
      </c>
    </row>
    <row r="44" spans="1:7" x14ac:dyDescent="0.3">
      <c r="A44" s="2" t="s">
        <v>46</v>
      </c>
      <c r="B44" s="2" t="s">
        <v>8</v>
      </c>
      <c r="C44" s="2" t="s">
        <v>9</v>
      </c>
      <c r="D44" s="2" t="s">
        <v>23</v>
      </c>
      <c r="E44" s="2">
        <v>46</v>
      </c>
      <c r="F44" s="2">
        <v>15000</v>
      </c>
      <c r="G44" s="2">
        <f t="shared" si="1"/>
        <v>690000</v>
      </c>
    </row>
    <row r="45" spans="1:7" x14ac:dyDescent="0.3">
      <c r="A45" s="3" t="s">
        <v>46</v>
      </c>
      <c r="B45" s="3" t="s">
        <v>28</v>
      </c>
      <c r="C45" s="3" t="s">
        <v>12</v>
      </c>
      <c r="D45" s="3" t="s">
        <v>10</v>
      </c>
      <c r="E45" s="3">
        <v>23</v>
      </c>
      <c r="F45" s="3">
        <v>1200</v>
      </c>
      <c r="G45" s="3">
        <f t="shared" si="1"/>
        <v>27600</v>
      </c>
    </row>
    <row r="46" spans="1:7" x14ac:dyDescent="0.3">
      <c r="A46" s="2" t="s">
        <v>47</v>
      </c>
      <c r="B46" s="2" t="s">
        <v>15</v>
      </c>
      <c r="C46" s="2" t="s">
        <v>16</v>
      </c>
      <c r="D46" s="2" t="s">
        <v>13</v>
      </c>
      <c r="E46" s="2">
        <v>34</v>
      </c>
      <c r="F46" s="2">
        <v>350</v>
      </c>
      <c r="G46" s="2">
        <f t="shared" si="1"/>
        <v>11900</v>
      </c>
    </row>
    <row r="47" spans="1:7" x14ac:dyDescent="0.3">
      <c r="A47" s="3" t="s">
        <v>47</v>
      </c>
      <c r="B47" s="3" t="s">
        <v>38</v>
      </c>
      <c r="C47" s="3" t="s">
        <v>9</v>
      </c>
      <c r="D47" s="3" t="s">
        <v>23</v>
      </c>
      <c r="E47" s="3">
        <v>37</v>
      </c>
      <c r="F47" s="3">
        <v>45000</v>
      </c>
      <c r="G47" s="3">
        <f t="shared" si="1"/>
        <v>1665000</v>
      </c>
    </row>
    <row r="48" spans="1:7" x14ac:dyDescent="0.3">
      <c r="A48" s="2" t="s">
        <v>48</v>
      </c>
      <c r="B48" s="2" t="s">
        <v>25</v>
      </c>
      <c r="C48" s="2" t="s">
        <v>9</v>
      </c>
      <c r="D48" s="2" t="s">
        <v>10</v>
      </c>
      <c r="E48" s="2">
        <v>45</v>
      </c>
      <c r="F48" s="2">
        <v>3000</v>
      </c>
      <c r="G48" s="2">
        <f t="shared" si="1"/>
        <v>135000</v>
      </c>
    </row>
    <row r="49" spans="1:7" x14ac:dyDescent="0.3">
      <c r="A49" s="3" t="s">
        <v>48</v>
      </c>
      <c r="B49" s="3" t="s">
        <v>26</v>
      </c>
      <c r="C49" s="3" t="s">
        <v>12</v>
      </c>
      <c r="D49" s="3" t="s">
        <v>13</v>
      </c>
      <c r="E49" s="3">
        <v>14</v>
      </c>
      <c r="F49" s="3">
        <v>2500</v>
      </c>
      <c r="G49" s="3">
        <f t="shared" si="1"/>
        <v>35000</v>
      </c>
    </row>
    <row r="50" spans="1:7" x14ac:dyDescent="0.3">
      <c r="A50" s="2" t="s">
        <v>49</v>
      </c>
      <c r="B50" s="2" t="s">
        <v>28</v>
      </c>
      <c r="C50" s="2" t="s">
        <v>12</v>
      </c>
      <c r="D50" s="2" t="s">
        <v>13</v>
      </c>
      <c r="E50" s="2">
        <v>39</v>
      </c>
      <c r="F50" s="2">
        <v>1200</v>
      </c>
      <c r="G50" s="2">
        <f t="shared" si="1"/>
        <v>46800</v>
      </c>
    </row>
    <row r="51" spans="1:7" x14ac:dyDescent="0.3">
      <c r="A51" s="3" t="s">
        <v>49</v>
      </c>
      <c r="B51" s="3" t="s">
        <v>18</v>
      </c>
      <c r="C51" s="3" t="s">
        <v>19</v>
      </c>
      <c r="D51" s="3" t="s">
        <v>10</v>
      </c>
      <c r="E51" s="3">
        <v>43</v>
      </c>
      <c r="F51" s="3">
        <v>120</v>
      </c>
      <c r="G51" s="3">
        <f t="shared" si="1"/>
        <v>5160</v>
      </c>
    </row>
    <row r="52" spans="1:7" x14ac:dyDescent="0.3">
      <c r="A52" s="2" t="s">
        <v>50</v>
      </c>
      <c r="B52" s="2" t="s">
        <v>28</v>
      </c>
      <c r="C52" s="2" t="s">
        <v>12</v>
      </c>
      <c r="D52" s="2" t="s">
        <v>21</v>
      </c>
      <c r="E52" s="2">
        <v>6</v>
      </c>
      <c r="F52" s="2">
        <v>1200</v>
      </c>
      <c r="G52" s="2">
        <f t="shared" si="1"/>
        <v>7200</v>
      </c>
    </row>
    <row r="53" spans="1:7" x14ac:dyDescent="0.3">
      <c r="A53" s="3" t="s">
        <v>50</v>
      </c>
      <c r="B53" s="3" t="s">
        <v>8</v>
      </c>
      <c r="C53" s="3" t="s">
        <v>9</v>
      </c>
      <c r="D53" s="3" t="s">
        <v>23</v>
      </c>
      <c r="E53" s="3">
        <v>24</v>
      </c>
      <c r="F53" s="3">
        <v>15000</v>
      </c>
      <c r="G53" s="3">
        <f t="shared" si="1"/>
        <v>360000</v>
      </c>
    </row>
    <row r="54" spans="1:7" x14ac:dyDescent="0.3">
      <c r="A54" s="2" t="s">
        <v>51</v>
      </c>
      <c r="B54" s="2" t="s">
        <v>11</v>
      </c>
      <c r="C54" s="2" t="s">
        <v>12</v>
      </c>
      <c r="D54" s="2" t="s">
        <v>10</v>
      </c>
      <c r="E54" s="2">
        <v>20</v>
      </c>
      <c r="F54" s="2">
        <v>800</v>
      </c>
      <c r="G54" s="2">
        <f t="shared" si="1"/>
        <v>16000</v>
      </c>
    </row>
    <row r="55" spans="1:7" x14ac:dyDescent="0.3">
      <c r="A55" s="3" t="s">
        <v>51</v>
      </c>
      <c r="B55" s="3" t="s">
        <v>31</v>
      </c>
      <c r="C55" s="3" t="s">
        <v>19</v>
      </c>
      <c r="D55" s="3" t="s">
        <v>10</v>
      </c>
      <c r="E55" s="3">
        <v>10</v>
      </c>
      <c r="F55" s="3">
        <v>200</v>
      </c>
      <c r="G55" s="3">
        <f t="shared" si="1"/>
        <v>2000</v>
      </c>
    </row>
    <row r="56" spans="1:7" x14ac:dyDescent="0.3">
      <c r="A56" s="2" t="s">
        <v>52</v>
      </c>
      <c r="B56" s="2" t="s">
        <v>22</v>
      </c>
      <c r="C56" s="2" t="s">
        <v>16</v>
      </c>
      <c r="D56" s="2" t="s">
        <v>10</v>
      </c>
      <c r="E56" s="2">
        <v>39</v>
      </c>
      <c r="F56" s="2">
        <v>180</v>
      </c>
      <c r="G56" s="2">
        <f t="shared" si="1"/>
        <v>7020</v>
      </c>
    </row>
    <row r="57" spans="1:7" x14ac:dyDescent="0.3">
      <c r="A57" s="3" t="s">
        <v>52</v>
      </c>
      <c r="B57" s="3" t="s">
        <v>25</v>
      </c>
      <c r="C57" s="3" t="s">
        <v>9</v>
      </c>
      <c r="D57" s="3" t="s">
        <v>13</v>
      </c>
      <c r="E57" s="3">
        <v>47</v>
      </c>
      <c r="F57" s="3">
        <v>3000</v>
      </c>
      <c r="G57" s="3">
        <f t="shared" si="1"/>
        <v>141000</v>
      </c>
    </row>
    <row r="58" spans="1:7" x14ac:dyDescent="0.3">
      <c r="A58" s="2" t="s">
        <v>53</v>
      </c>
      <c r="B58" s="2" t="s">
        <v>22</v>
      </c>
      <c r="C58" s="2" t="s">
        <v>16</v>
      </c>
      <c r="D58" s="2" t="s">
        <v>13</v>
      </c>
      <c r="E58" s="2">
        <v>21</v>
      </c>
      <c r="F58" s="2">
        <v>180</v>
      </c>
      <c r="G58" s="2">
        <f t="shared" si="1"/>
        <v>3780</v>
      </c>
    </row>
    <row r="59" spans="1:7" x14ac:dyDescent="0.3">
      <c r="A59" s="3" t="s">
        <v>53</v>
      </c>
      <c r="B59" s="3" t="s">
        <v>18</v>
      </c>
      <c r="C59" s="3" t="s">
        <v>19</v>
      </c>
      <c r="D59" s="3" t="s">
        <v>21</v>
      </c>
      <c r="E59" s="3">
        <v>18</v>
      </c>
      <c r="F59" s="3">
        <v>120</v>
      </c>
      <c r="G59" s="3">
        <f t="shared" si="1"/>
        <v>2160</v>
      </c>
    </row>
    <row r="60" spans="1:7" x14ac:dyDescent="0.3">
      <c r="A60" s="2" t="s">
        <v>54</v>
      </c>
      <c r="B60" s="2" t="s">
        <v>18</v>
      </c>
      <c r="C60" s="2" t="s">
        <v>19</v>
      </c>
      <c r="D60" s="2" t="s">
        <v>13</v>
      </c>
      <c r="E60" s="2">
        <v>50</v>
      </c>
      <c r="F60" s="2">
        <v>120</v>
      </c>
      <c r="G60" s="2">
        <f t="shared" si="1"/>
        <v>6000</v>
      </c>
    </row>
    <row r="61" spans="1:7" x14ac:dyDescent="0.3">
      <c r="A61" s="3" t="s">
        <v>54</v>
      </c>
      <c r="B61" s="3" t="s">
        <v>26</v>
      </c>
      <c r="C61" s="3" t="s">
        <v>12</v>
      </c>
      <c r="D61" s="3" t="s">
        <v>21</v>
      </c>
      <c r="E61" s="3">
        <v>47</v>
      </c>
      <c r="F61" s="3">
        <v>2500</v>
      </c>
      <c r="G61" s="3">
        <f t="shared" si="1"/>
        <v>117500</v>
      </c>
    </row>
    <row r="62" spans="1:7" x14ac:dyDescent="0.3">
      <c r="A62" s="2" t="s">
        <v>55</v>
      </c>
      <c r="B62" s="2" t="s">
        <v>28</v>
      </c>
      <c r="C62" s="2" t="s">
        <v>12</v>
      </c>
      <c r="D62" s="2" t="s">
        <v>21</v>
      </c>
      <c r="E62" s="2">
        <v>38</v>
      </c>
      <c r="F62" s="2">
        <v>1200</v>
      </c>
      <c r="G62" s="2">
        <f t="shared" si="1"/>
        <v>45600</v>
      </c>
    </row>
    <row r="63" spans="1:7" x14ac:dyDescent="0.3">
      <c r="A63" s="3" t="s">
        <v>55</v>
      </c>
      <c r="B63" s="3" t="s">
        <v>22</v>
      </c>
      <c r="C63" s="3" t="s">
        <v>16</v>
      </c>
      <c r="D63" s="3" t="s">
        <v>10</v>
      </c>
      <c r="E63" s="3">
        <v>20</v>
      </c>
      <c r="F63" s="3">
        <v>180</v>
      </c>
      <c r="G63" s="3">
        <f t="shared" si="1"/>
        <v>3600</v>
      </c>
    </row>
    <row r="64" spans="1:7" x14ac:dyDescent="0.3">
      <c r="A64" s="2" t="s">
        <v>56</v>
      </c>
      <c r="B64" s="2" t="s">
        <v>11</v>
      </c>
      <c r="C64" s="2" t="s">
        <v>12</v>
      </c>
      <c r="D64" s="2" t="s">
        <v>10</v>
      </c>
      <c r="E64" s="2">
        <v>26</v>
      </c>
      <c r="F64" s="2">
        <v>800</v>
      </c>
      <c r="G64" s="2">
        <f t="shared" si="1"/>
        <v>20800</v>
      </c>
    </row>
    <row r="65" spans="1:7" x14ac:dyDescent="0.3">
      <c r="A65" s="3" t="s">
        <v>56</v>
      </c>
      <c r="B65" s="3" t="s">
        <v>38</v>
      </c>
      <c r="C65" s="3" t="s">
        <v>9</v>
      </c>
      <c r="D65" s="3" t="s">
        <v>13</v>
      </c>
      <c r="E65" s="3">
        <v>42</v>
      </c>
      <c r="F65" s="3">
        <v>45000</v>
      </c>
      <c r="G65" s="3">
        <f t="shared" si="1"/>
        <v>1890000</v>
      </c>
    </row>
    <row r="66" spans="1:7" x14ac:dyDescent="0.3">
      <c r="A66" s="2" t="s">
        <v>57</v>
      </c>
      <c r="B66" s="2" t="s">
        <v>11</v>
      </c>
      <c r="C66" s="2" t="s">
        <v>12</v>
      </c>
      <c r="D66" s="2" t="s">
        <v>10</v>
      </c>
      <c r="E66" s="2">
        <v>9</v>
      </c>
      <c r="F66" s="2">
        <v>800</v>
      </c>
      <c r="G66" s="2">
        <f t="shared" ref="G66:G97" si="2">E66*F66</f>
        <v>7200</v>
      </c>
    </row>
    <row r="67" spans="1:7" x14ac:dyDescent="0.3">
      <c r="A67" s="3" t="s">
        <v>57</v>
      </c>
      <c r="B67" s="3" t="s">
        <v>38</v>
      </c>
      <c r="C67" s="3" t="s">
        <v>9</v>
      </c>
      <c r="D67" s="3" t="s">
        <v>13</v>
      </c>
      <c r="E67" s="3">
        <v>9</v>
      </c>
      <c r="F67" s="3">
        <v>45000</v>
      </c>
      <c r="G67" s="3">
        <f t="shared" si="2"/>
        <v>405000</v>
      </c>
    </row>
    <row r="68" spans="1:7" x14ac:dyDescent="0.3">
      <c r="A68" s="2" t="s">
        <v>58</v>
      </c>
      <c r="B68" s="2" t="s">
        <v>38</v>
      </c>
      <c r="C68" s="2" t="s">
        <v>9</v>
      </c>
      <c r="D68" s="2" t="s">
        <v>23</v>
      </c>
      <c r="E68" s="2">
        <v>9</v>
      </c>
      <c r="F68" s="2">
        <v>45000</v>
      </c>
      <c r="G68" s="2">
        <f t="shared" si="2"/>
        <v>405000</v>
      </c>
    </row>
    <row r="69" spans="1:7" x14ac:dyDescent="0.3">
      <c r="A69" s="3" t="s">
        <v>58</v>
      </c>
      <c r="B69" s="3" t="s">
        <v>18</v>
      </c>
      <c r="C69" s="3" t="s">
        <v>19</v>
      </c>
      <c r="D69" s="3" t="s">
        <v>13</v>
      </c>
      <c r="E69" s="3">
        <v>22</v>
      </c>
      <c r="F69" s="3">
        <v>120</v>
      </c>
      <c r="G69" s="3">
        <f t="shared" si="2"/>
        <v>2640</v>
      </c>
    </row>
    <row r="70" spans="1:7" x14ac:dyDescent="0.3">
      <c r="A70" s="2" t="s">
        <v>59</v>
      </c>
      <c r="B70" s="2" t="s">
        <v>22</v>
      </c>
      <c r="C70" s="2" t="s">
        <v>16</v>
      </c>
      <c r="D70" s="2" t="s">
        <v>13</v>
      </c>
      <c r="E70" s="2">
        <v>39</v>
      </c>
      <c r="F70" s="2">
        <v>180</v>
      </c>
      <c r="G70" s="2">
        <f t="shared" si="2"/>
        <v>7020</v>
      </c>
    </row>
    <row r="71" spans="1:7" x14ac:dyDescent="0.3">
      <c r="A71" s="3" t="s">
        <v>59</v>
      </c>
      <c r="B71" s="3" t="s">
        <v>25</v>
      </c>
      <c r="C71" s="3" t="s">
        <v>9</v>
      </c>
      <c r="D71" s="3" t="s">
        <v>21</v>
      </c>
      <c r="E71" s="3">
        <v>20</v>
      </c>
      <c r="F71" s="3">
        <v>3000</v>
      </c>
      <c r="G71" s="3">
        <f t="shared" si="2"/>
        <v>60000</v>
      </c>
    </row>
    <row r="72" spans="1:7" x14ac:dyDescent="0.3">
      <c r="A72" s="2" t="s">
        <v>60</v>
      </c>
      <c r="B72" s="2" t="s">
        <v>22</v>
      </c>
      <c r="C72" s="2" t="s">
        <v>16</v>
      </c>
      <c r="D72" s="2" t="s">
        <v>21</v>
      </c>
      <c r="E72" s="2">
        <v>17</v>
      </c>
      <c r="F72" s="2">
        <v>180</v>
      </c>
      <c r="G72" s="2">
        <f t="shared" si="2"/>
        <v>3060</v>
      </c>
    </row>
    <row r="73" spans="1:7" x14ac:dyDescent="0.3">
      <c r="A73" s="3" t="s">
        <v>60</v>
      </c>
      <c r="B73" s="3" t="s">
        <v>8</v>
      </c>
      <c r="C73" s="3" t="s">
        <v>9</v>
      </c>
      <c r="D73" s="3" t="s">
        <v>10</v>
      </c>
      <c r="E73" s="3">
        <v>47</v>
      </c>
      <c r="F73" s="3">
        <v>15000</v>
      </c>
      <c r="G73" s="3">
        <f t="shared" si="2"/>
        <v>705000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20" customWidth="1"/>
  </cols>
  <sheetData>
    <row r="1" spans="1:4" ht="17.399999999999999" x14ac:dyDescent="0.3">
      <c r="A1" s="6" t="s">
        <v>61</v>
      </c>
      <c r="B1" s="7"/>
      <c r="C1" s="7"/>
      <c r="D1" s="7"/>
    </row>
    <row r="3" spans="1:4" x14ac:dyDescent="0.3">
      <c r="A3" s="4" t="s">
        <v>62</v>
      </c>
      <c r="B3" s="5">
        <f>SUM(Sales_Data!G:G)</f>
        <v>12321170</v>
      </c>
    </row>
    <row r="4" spans="1:4" x14ac:dyDescent="0.3">
      <c r="A4" s="4" t="s">
        <v>63</v>
      </c>
      <c r="B4" s="5">
        <f>SUM(Sales_Data!E:E)</f>
        <v>2034</v>
      </c>
    </row>
    <row r="5" spans="1:4" x14ac:dyDescent="0.3">
      <c r="A5" s="4" t="s">
        <v>64</v>
      </c>
      <c r="B5" s="5">
        <f>COUNTA(Sales_Data!A2:A73)</f>
        <v>72</v>
      </c>
    </row>
    <row r="6" spans="1:4" x14ac:dyDescent="0.3">
      <c r="A6" s="4" t="s">
        <v>65</v>
      </c>
      <c r="B6" s="5">
        <f>IFERROR(SUM(Sales_Data!G:G)/COUNTA(Sales_Data!A2:A10000),0)</f>
        <v>171127.36111111112</v>
      </c>
    </row>
    <row r="7" spans="1:4" x14ac:dyDescent="0.3">
      <c r="A7" s="4" t="s">
        <v>66</v>
      </c>
      <c r="B7" s="5">
        <f>MAX(Sales_Data!G:G)</f>
        <v>1890000</v>
      </c>
    </row>
    <row r="8" spans="1:4" x14ac:dyDescent="0.3">
      <c r="A8" s="4" t="s">
        <v>67</v>
      </c>
      <c r="B8" s="5">
        <f>MIN(Sales_Data!G:G)</f>
        <v>900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1925-3F40-481D-9F8B-81CF30124D84}">
  <dimension ref="A1:U61"/>
  <sheetViews>
    <sheetView tabSelected="1" zoomScale="32" zoomScaleNormal="82" workbookViewId="0">
      <selection activeCell="U47" sqref="U47"/>
    </sheetView>
  </sheetViews>
  <sheetFormatPr defaultRowHeight="14.4" x14ac:dyDescent="0.3"/>
  <cols>
    <col min="1" max="1" width="12.5546875" bestFit="1" customWidth="1"/>
    <col min="2" max="2" width="14.88671875" bestFit="1" customWidth="1"/>
    <col min="6" max="6" width="13.44140625" bestFit="1" customWidth="1"/>
    <col min="7" max="7" width="15.5546875" bestFit="1" customWidth="1"/>
    <col min="13" max="13" width="13.88671875" bestFit="1" customWidth="1"/>
    <col min="14" max="14" width="15.5546875" bestFit="1" customWidth="1"/>
    <col min="20" max="20" width="13.88671875" bestFit="1" customWidth="1"/>
    <col min="21" max="21" width="17.33203125" bestFit="1" customWidth="1"/>
  </cols>
  <sheetData>
    <row r="1" spans="1:21" x14ac:dyDescent="0.3">
      <c r="A1" s="8" t="s">
        <v>68</v>
      </c>
      <c r="B1" t="s">
        <v>70</v>
      </c>
      <c r="F1" s="8" t="s">
        <v>68</v>
      </c>
      <c r="G1" t="s">
        <v>70</v>
      </c>
      <c r="M1" s="8" t="s">
        <v>68</v>
      </c>
      <c r="N1" t="s">
        <v>70</v>
      </c>
      <c r="T1" s="8" t="s">
        <v>68</v>
      </c>
      <c r="U1" t="s">
        <v>71</v>
      </c>
    </row>
    <row r="2" spans="1:21" x14ac:dyDescent="0.3">
      <c r="A2" s="9" t="s">
        <v>7</v>
      </c>
      <c r="B2" s="10">
        <v>340400</v>
      </c>
      <c r="F2" s="9" t="s">
        <v>28</v>
      </c>
      <c r="G2" s="10">
        <v>260400</v>
      </c>
      <c r="M2" s="9" t="s">
        <v>9</v>
      </c>
      <c r="N2" s="10">
        <v>11208000</v>
      </c>
      <c r="T2" s="9" t="s">
        <v>23</v>
      </c>
      <c r="U2" s="10">
        <v>314</v>
      </c>
    </row>
    <row r="3" spans="1:21" x14ac:dyDescent="0.3">
      <c r="A3" s="9" t="s">
        <v>40</v>
      </c>
      <c r="B3" s="10">
        <v>12060</v>
      </c>
      <c r="F3" s="9" t="s">
        <v>22</v>
      </c>
      <c r="G3" s="10">
        <v>48060</v>
      </c>
      <c r="M3" s="9" t="s">
        <v>12</v>
      </c>
      <c r="N3" s="10">
        <v>978900</v>
      </c>
      <c r="T3" s="9" t="s">
        <v>10</v>
      </c>
      <c r="U3" s="10">
        <v>630</v>
      </c>
    </row>
    <row r="4" spans="1:21" x14ac:dyDescent="0.3">
      <c r="A4" s="9" t="s">
        <v>29</v>
      </c>
      <c r="B4" s="10">
        <v>13620</v>
      </c>
      <c r="F4" s="9" t="s">
        <v>25</v>
      </c>
      <c r="G4" s="10">
        <v>708000</v>
      </c>
      <c r="M4" s="9" t="s">
        <v>16</v>
      </c>
      <c r="N4" s="10">
        <v>81310</v>
      </c>
      <c r="T4" s="9" t="s">
        <v>13</v>
      </c>
      <c r="U4" s="10">
        <v>648</v>
      </c>
    </row>
    <row r="5" spans="1:21" x14ac:dyDescent="0.3">
      <c r="A5" s="9" t="s">
        <v>52</v>
      </c>
      <c r="B5" s="10">
        <v>148020</v>
      </c>
      <c r="F5" s="9" t="s">
        <v>38</v>
      </c>
      <c r="G5" s="10">
        <v>5715000</v>
      </c>
      <c r="M5" s="9" t="s">
        <v>19</v>
      </c>
      <c r="N5" s="10">
        <v>52960</v>
      </c>
      <c r="T5" s="9" t="s">
        <v>21</v>
      </c>
      <c r="U5" s="10">
        <v>442</v>
      </c>
    </row>
    <row r="6" spans="1:21" x14ac:dyDescent="0.3">
      <c r="A6" s="9" t="s">
        <v>46</v>
      </c>
      <c r="B6" s="10">
        <v>717600</v>
      </c>
      <c r="F6" s="9" t="s">
        <v>18</v>
      </c>
      <c r="G6" s="10">
        <v>31560</v>
      </c>
      <c r="M6" s="9" t="s">
        <v>69</v>
      </c>
      <c r="N6" s="10">
        <v>12321170</v>
      </c>
      <c r="T6" s="9" t="s">
        <v>69</v>
      </c>
      <c r="U6" s="10">
        <v>2034</v>
      </c>
    </row>
    <row r="7" spans="1:21" x14ac:dyDescent="0.3">
      <c r="A7" s="9" t="s">
        <v>58</v>
      </c>
      <c r="B7" s="10">
        <v>407640</v>
      </c>
      <c r="F7" s="9" t="s">
        <v>31</v>
      </c>
      <c r="G7" s="10">
        <v>21400</v>
      </c>
    </row>
    <row r="8" spans="1:21" x14ac:dyDescent="0.3">
      <c r="A8" s="9" t="s">
        <v>20</v>
      </c>
      <c r="B8" s="10">
        <v>16100</v>
      </c>
      <c r="F8" s="9" t="s">
        <v>15</v>
      </c>
      <c r="G8" s="10">
        <v>33250</v>
      </c>
    </row>
    <row r="9" spans="1:21" x14ac:dyDescent="0.3">
      <c r="A9" s="9" t="s">
        <v>36</v>
      </c>
      <c r="B9" s="10">
        <v>9720</v>
      </c>
      <c r="F9" s="9" t="s">
        <v>26</v>
      </c>
      <c r="G9" s="10">
        <v>582500</v>
      </c>
    </row>
    <row r="10" spans="1:21" x14ac:dyDescent="0.3">
      <c r="A10" s="9" t="s">
        <v>55</v>
      </c>
      <c r="B10" s="10">
        <v>49200</v>
      </c>
      <c r="F10" s="9" t="s">
        <v>8</v>
      </c>
      <c r="G10" s="10">
        <v>4785000</v>
      </c>
    </row>
    <row r="11" spans="1:21" x14ac:dyDescent="0.3">
      <c r="A11" s="9" t="s">
        <v>49</v>
      </c>
      <c r="B11" s="10">
        <v>51960</v>
      </c>
      <c r="F11" s="9" t="s">
        <v>11</v>
      </c>
      <c r="G11" s="10">
        <v>136000</v>
      </c>
    </row>
    <row r="12" spans="1:21" x14ac:dyDescent="0.3">
      <c r="A12" s="9" t="s">
        <v>43</v>
      </c>
      <c r="B12" s="10">
        <v>676440</v>
      </c>
      <c r="F12" s="9" t="s">
        <v>69</v>
      </c>
      <c r="G12" s="10">
        <v>12321170</v>
      </c>
    </row>
    <row r="13" spans="1:21" x14ac:dyDescent="0.3">
      <c r="A13" s="9" t="s">
        <v>33</v>
      </c>
      <c r="B13" s="10">
        <v>135700</v>
      </c>
    </row>
    <row r="14" spans="1:21" x14ac:dyDescent="0.3">
      <c r="A14" s="9" t="s">
        <v>30</v>
      </c>
      <c r="B14" s="10">
        <v>683200</v>
      </c>
    </row>
    <row r="15" spans="1:21" x14ac:dyDescent="0.3">
      <c r="A15" s="9" t="s">
        <v>59</v>
      </c>
      <c r="B15" s="10">
        <v>67020</v>
      </c>
    </row>
    <row r="16" spans="1:21" x14ac:dyDescent="0.3">
      <c r="A16" s="9" t="s">
        <v>14</v>
      </c>
      <c r="B16" s="10">
        <v>632100</v>
      </c>
    </row>
    <row r="17" spans="1:2" x14ac:dyDescent="0.3">
      <c r="A17" s="9" t="s">
        <v>41</v>
      </c>
      <c r="B17" s="10">
        <v>125040</v>
      </c>
    </row>
    <row r="18" spans="1:2" x14ac:dyDescent="0.3">
      <c r="A18" s="9" t="s">
        <v>53</v>
      </c>
      <c r="B18" s="10">
        <v>5940</v>
      </c>
    </row>
    <row r="19" spans="1:2" x14ac:dyDescent="0.3">
      <c r="A19" s="9" t="s">
        <v>37</v>
      </c>
      <c r="B19" s="10">
        <v>1372800</v>
      </c>
    </row>
    <row r="20" spans="1:2" x14ac:dyDescent="0.3">
      <c r="A20" s="9" t="s">
        <v>47</v>
      </c>
      <c r="B20" s="10">
        <v>1676900</v>
      </c>
    </row>
    <row r="21" spans="1:2" x14ac:dyDescent="0.3">
      <c r="A21" s="9" t="s">
        <v>24</v>
      </c>
      <c r="B21" s="10">
        <v>123000</v>
      </c>
    </row>
    <row r="22" spans="1:2" x14ac:dyDescent="0.3">
      <c r="A22" s="9" t="s">
        <v>56</v>
      </c>
      <c r="B22" s="10">
        <v>1910800</v>
      </c>
    </row>
    <row r="23" spans="1:2" x14ac:dyDescent="0.3">
      <c r="A23" s="9" t="s">
        <v>50</v>
      </c>
      <c r="B23" s="10">
        <v>367200</v>
      </c>
    </row>
    <row r="24" spans="1:2" x14ac:dyDescent="0.3">
      <c r="A24" s="9" t="s">
        <v>44</v>
      </c>
      <c r="B24" s="10">
        <v>564000</v>
      </c>
    </row>
    <row r="25" spans="1:2" x14ac:dyDescent="0.3">
      <c r="A25" s="9" t="s">
        <v>34</v>
      </c>
      <c r="B25" s="10">
        <v>90000</v>
      </c>
    </row>
    <row r="26" spans="1:2" x14ac:dyDescent="0.3">
      <c r="A26" s="9" t="s">
        <v>27</v>
      </c>
      <c r="B26" s="10">
        <v>21450</v>
      </c>
    </row>
    <row r="27" spans="1:2" x14ac:dyDescent="0.3">
      <c r="A27" s="9" t="s">
        <v>42</v>
      </c>
      <c r="B27" s="10">
        <v>39400</v>
      </c>
    </row>
    <row r="28" spans="1:2" x14ac:dyDescent="0.3">
      <c r="A28" s="9" t="s">
        <v>32</v>
      </c>
      <c r="B28" s="10">
        <v>13600</v>
      </c>
    </row>
    <row r="29" spans="1:2" x14ac:dyDescent="0.3">
      <c r="A29" s="9" t="s">
        <v>54</v>
      </c>
      <c r="B29" s="10">
        <v>123500</v>
      </c>
    </row>
    <row r="30" spans="1:2" x14ac:dyDescent="0.3">
      <c r="A30" s="9" t="s">
        <v>60</v>
      </c>
      <c r="B30" s="10">
        <v>708060</v>
      </c>
    </row>
    <row r="31" spans="1:2" x14ac:dyDescent="0.3">
      <c r="A31" s="9" t="s">
        <v>17</v>
      </c>
      <c r="B31" s="10">
        <v>289800</v>
      </c>
    </row>
    <row r="32" spans="1:2" x14ac:dyDescent="0.3">
      <c r="A32" s="9" t="s">
        <v>39</v>
      </c>
      <c r="B32" s="10">
        <v>48600</v>
      </c>
    </row>
    <row r="33" spans="1:2" x14ac:dyDescent="0.3">
      <c r="A33" s="9" t="s">
        <v>51</v>
      </c>
      <c r="B33" s="10">
        <v>18000</v>
      </c>
    </row>
    <row r="34" spans="1:2" x14ac:dyDescent="0.3">
      <c r="A34" s="9" t="s">
        <v>48</v>
      </c>
      <c r="B34" s="10">
        <v>170000</v>
      </c>
    </row>
    <row r="35" spans="1:2" x14ac:dyDescent="0.3">
      <c r="A35" s="9" t="s">
        <v>57</v>
      </c>
      <c r="B35" s="10">
        <v>412200</v>
      </c>
    </row>
    <row r="36" spans="1:2" x14ac:dyDescent="0.3">
      <c r="A36" s="9" t="s">
        <v>35</v>
      </c>
      <c r="B36" s="10">
        <v>152500</v>
      </c>
    </row>
    <row r="37" spans="1:2" x14ac:dyDescent="0.3">
      <c r="A37" s="9" t="s">
        <v>45</v>
      </c>
      <c r="B37" s="10">
        <v>127600</v>
      </c>
    </row>
    <row r="38" spans="1:2" x14ac:dyDescent="0.3">
      <c r="A38" s="9" t="s">
        <v>69</v>
      </c>
      <c r="B38" s="10">
        <v>12321170</v>
      </c>
    </row>
    <row r="61" spans="6:6" ht="31.2" x14ac:dyDescent="0.6">
      <c r="F61" s="11" t="s">
        <v>72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KPI_Summary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rakshita maheshwari</cp:lastModifiedBy>
  <dcterms:created xsi:type="dcterms:W3CDTF">2026-06-06T06:31:08Z</dcterms:created>
  <dcterms:modified xsi:type="dcterms:W3CDTF">2026-06-06T07:27:03Z</dcterms:modified>
</cp:coreProperties>
</file>